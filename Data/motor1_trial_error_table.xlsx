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mmy\Downloads\"/>
    </mc:Choice>
  </mc:AlternateContent>
  <xr:revisionPtr revIDLastSave="0" documentId="13_ncr:1_{FE5A0379-6C90-424F-94B6-394EA5A5D8D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rial Data" sheetId="1" r:id="rId1"/>
    <sheet name="Professor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3" i="2"/>
  <c r="B22" i="2"/>
  <c r="B21" i="2"/>
  <c r="B20" i="2"/>
  <c r="B19" i="2"/>
  <c r="B18" i="2"/>
  <c r="B17" i="2"/>
  <c r="B16" i="2"/>
  <c r="B15" i="2"/>
  <c r="B11" i="2"/>
  <c r="B10" i="2"/>
  <c r="B9" i="2"/>
  <c r="B8" i="2"/>
  <c r="B7" i="2"/>
  <c r="E6" i="2"/>
  <c r="B6" i="2"/>
  <c r="E5" i="2"/>
  <c r="B5" i="2"/>
  <c r="C25" i="2" l="1"/>
  <c r="C24" i="2"/>
  <c r="C23" i="2"/>
  <c r="C22" i="2"/>
  <c r="C21" i="2"/>
  <c r="C17" i="2"/>
  <c r="C20" i="2"/>
  <c r="C19" i="2"/>
  <c r="C18" i="2"/>
  <c r="C16" i="2"/>
  <c r="C15" i="2"/>
</calcChain>
</file>

<file path=xl/sharedStrings.xml><?xml version="1.0" encoding="utf-8"?>
<sst xmlns="http://schemas.openxmlformats.org/spreadsheetml/2006/main" count="53" uniqueCount="40">
  <si>
    <t>Trial</t>
  </si>
  <si>
    <t>Time</t>
  </si>
  <si>
    <t>Motor</t>
  </si>
  <si>
    <t>Axis</t>
  </si>
  <si>
    <t>Commanded Rotation (°)</t>
  </si>
  <si>
    <t>Measured Rotation (°)</t>
  </si>
  <si>
    <t>Signed Error (°)</t>
  </si>
  <si>
    <t>Absolute Error (°)</t>
  </si>
  <si>
    <t>Percent Error (%)</t>
  </si>
  <si>
    <t>Software Start (°)</t>
  </si>
  <si>
    <t>Software End (°)</t>
  </si>
  <si>
    <t>2026-08-13 18:00:29</t>
  </si>
  <si>
    <t>Pitch</t>
  </si>
  <si>
    <t>2026-08-13 18:01:04</t>
  </si>
  <si>
    <t>2026-08-13 18:01:24</t>
  </si>
  <si>
    <t>2026-08-13 18:01:43</t>
  </si>
  <si>
    <t>2026-08-13 18:02:01</t>
  </si>
  <si>
    <t>2026-08-13 18:02:20</t>
  </si>
  <si>
    <t>2026-08-13 18:02:25</t>
  </si>
  <si>
    <t>2026-08-13 18:02:49</t>
  </si>
  <si>
    <t>2026-08-13 18:03:03</t>
  </si>
  <si>
    <t>2026-08-13 18:03:18</t>
  </si>
  <si>
    <t>2026-08-13 18:03:28</t>
  </si>
  <si>
    <t>Motor 1 Repeatability — Trial vs Signed Error</t>
  </si>
  <si>
    <t>Metric</t>
  </si>
  <si>
    <t>Value</t>
  </si>
  <si>
    <t>Trend Metric</t>
  </si>
  <si>
    <t>Number of trials</t>
  </si>
  <si>
    <t>Linear slope (°/trial)</t>
  </si>
  <si>
    <t>Mean signed error (°)</t>
  </si>
  <si>
    <t>Intercept (°)</t>
  </si>
  <si>
    <t>Standard deviation (°)</t>
  </si>
  <si>
    <t>Interpretation</t>
  </si>
  <si>
    <t>Positive slope = error becomes less negative over repeated trials</t>
  </si>
  <si>
    <t>Mean absolute error (°)</t>
  </si>
  <si>
    <t>RMSE (°)</t>
  </si>
  <si>
    <t>Minimum signed error (°)</t>
  </si>
  <si>
    <t>Maximum signed error (°)</t>
  </si>
  <si>
    <t>Linear Trend (°)</t>
  </si>
  <si>
    <t>Data note: the uploaded cumulative CSV snapshots contain 1 dual-axis record and 11 unique Motor 1 single-axis repeatability trials at a quantized command of 15.075°. This summary uses all 11 valid single-axis trials.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</si>
</sst>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" fontId="0" fillId="0" borderId="0" xfId="1" applyNumberFormat="1" applyFont="1" applyAlignment="1">
      <alignment vertical="center" wrapText="1"/>
    </xf>
    <xf numFmtId="0" fontId="0" fillId="0" borderId="0" xfId="1" applyFont="1" applyAlignment="1">
      <alignment vertical="center" wrapText="1"/>
    </xf>
    <xf numFmtId="176" fontId="0" fillId="0" borderId="0" xfId="1" applyNumberFormat="1" applyFont="1" applyAlignment="1">
      <alignment vertical="center" wrapText="1"/>
    </xf>
    <xf numFmtId="0" fontId="3" fillId="3" borderId="0" xfId="1" applyFont="1" applyFill="1" applyAlignment="1">
      <alignment horizontal="center"/>
    </xf>
    <xf numFmtId="1" fontId="0" fillId="0" borderId="0" xfId="1" applyNumberFormat="1" applyFont="1"/>
    <xf numFmtId="176" fontId="0" fillId="0" borderId="0" xfId="1" applyNumberFormat="1" applyFont="1"/>
    <xf numFmtId="0" fontId="0" fillId="0" borderId="0" xfId="1" applyFont="1" applyAlignment="1">
      <alignment wrapText="1"/>
    </xf>
    <xf numFmtId="0" fontId="1" fillId="4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0" fillId="5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Trial vs Signed Error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Signed Error (°)</c:v>
          </c:tx>
          <c:marker>
            <c:symbol val="none"/>
          </c:marker>
          <c:cat>
            <c:numRef>
              <c:f>'Professor Summary'!$A$15:$A$25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'Professor Summary'!$B$15:$B$25</c:f>
              <c:numCache>
                <c:formatCode>0.000</c:formatCode>
                <c:ptCount val="11"/>
                <c:pt idx="0">
                  <c:v>-0.68612217896672689</c:v>
                </c:pt>
                <c:pt idx="1">
                  <c:v>-0.6291867598309171</c:v>
                </c:pt>
                <c:pt idx="2">
                  <c:v>-1.1669220585309503E-2</c:v>
                </c:pt>
                <c:pt idx="3">
                  <c:v>-0.24655973961993283</c:v>
                </c:pt>
                <c:pt idx="4">
                  <c:v>-0.37644152033210609</c:v>
                </c:pt>
                <c:pt idx="5">
                  <c:v>-8.0777514868280775E-2</c:v>
                </c:pt>
                <c:pt idx="6">
                  <c:v>-0.54566137035000928</c:v>
                </c:pt>
                <c:pt idx="7">
                  <c:v>-0.25470784989141393</c:v>
                </c:pt>
                <c:pt idx="8">
                  <c:v>-0.31670139905432748</c:v>
                </c:pt>
                <c:pt idx="9">
                  <c:v>3.2545814004178553E-2</c:v>
                </c:pt>
                <c:pt idx="10">
                  <c:v>-0.22954028499844625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0F-47F5-9255-7B7F02A25AA8}"/>
            </c:ext>
          </c:extLst>
        </c:ser>
        <c:ser>
          <c:idx val="1"/>
          <c:order val="1"/>
          <c:tx>
            <c:v>Linear Trend (°)</c:v>
          </c:tx>
          <c:marker>
            <c:symbol val="none"/>
          </c:marker>
          <c:cat>
            <c:numRef>
              <c:f>'Professor Summary'!$A$15:$A$25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'Professor Summary'!$C$15:$C$25</c:f>
              <c:numCache>
                <c:formatCode>0.000</c:formatCode>
                <c:ptCount val="11"/>
                <c:pt idx="0">
                  <c:v>-0.47813050946365676</c:v>
                </c:pt>
                <c:pt idx="1">
                  <c:v>-0.44331935347080342</c:v>
                </c:pt>
                <c:pt idx="2">
                  <c:v>-0.40850819747795009</c:v>
                </c:pt>
                <c:pt idx="3">
                  <c:v>-0.37369704148509675</c:v>
                </c:pt>
                <c:pt idx="4">
                  <c:v>-0.33888588549224341</c:v>
                </c:pt>
                <c:pt idx="5">
                  <c:v>-0.30407472949939013</c:v>
                </c:pt>
                <c:pt idx="6">
                  <c:v>-0.26926357350653679</c:v>
                </c:pt>
                <c:pt idx="7">
                  <c:v>-0.23445241751368345</c:v>
                </c:pt>
                <c:pt idx="8">
                  <c:v>-0.19964126152083012</c:v>
                </c:pt>
                <c:pt idx="9">
                  <c:v>-0.16483010552797678</c:v>
                </c:pt>
                <c:pt idx="10">
                  <c:v>-0.13001894953512344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0F-47F5-9255-7B7F02A25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Trial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Signed Error (°)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392545</xdr:colOff>
      <xdr:row>13</xdr:row>
      <xdr:rowOff>34637</xdr:rowOff>
    </xdr:from>
    <xdr:to>
      <xdr:col>9</xdr:col>
      <xdr:colOff>1108363</xdr:colOff>
      <xdr:row>52</xdr:row>
      <xdr:rowOff>71251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6746123-BC83-D1AD-C645-D0EBD6387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545" y="2470728"/>
          <a:ext cx="11614727" cy="6790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tor1TrialTable" displayName="Motor1TrialTable" ref="A1:K12" totalsRowShown="0">
  <tableColumns count="11">
    <tableColumn id="1" xr3:uid="{00000000-0010-0000-0000-000001000000}" name="Trial"/>
    <tableColumn id="2" xr3:uid="{00000000-0010-0000-0000-000002000000}" name="Time"/>
    <tableColumn id="3" xr3:uid="{00000000-0010-0000-0000-000003000000}" name="Motor"/>
    <tableColumn id="4" xr3:uid="{00000000-0010-0000-0000-000004000000}" name="Axis"/>
    <tableColumn id="5" xr3:uid="{00000000-0010-0000-0000-000005000000}" name="Commanded Rotation (°)"/>
    <tableColumn id="6" xr3:uid="{00000000-0010-0000-0000-000006000000}" name="Measured Rotation (°)"/>
    <tableColumn id="7" xr3:uid="{00000000-0010-0000-0000-000007000000}" name="Signed Error (°)"/>
    <tableColumn id="8" xr3:uid="{00000000-0010-0000-0000-000008000000}" name="Absolute Error (°)"/>
    <tableColumn id="9" xr3:uid="{00000000-0010-0000-0000-000009000000}" name="Percent Error (%)"/>
    <tableColumn id="10" xr3:uid="{00000000-0010-0000-0000-00000A000000}" name="Software Start (°)"/>
    <tableColumn id="11" xr3:uid="{00000000-0010-0000-0000-00000B000000}" name="Software End (°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55" zoomScaleNormal="55" workbookViewId="0">
      <selection activeCell="S48" sqref="S47:T48"/>
    </sheetView>
  </sheetViews>
  <sheetFormatPr defaultRowHeight="14"/>
  <cols>
    <col min="1" max="1" width="9" customWidth="1"/>
    <col min="2" max="2" width="20" customWidth="1"/>
    <col min="3" max="4" width="12" customWidth="1"/>
    <col min="5" max="11" width="18" customWidth="1"/>
  </cols>
  <sheetData>
    <row r="1" spans="1:1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3" t="s">
        <v>11</v>
      </c>
      <c r="C2" s="3">
        <v>1</v>
      </c>
      <c r="D2" s="3" t="s">
        <v>12</v>
      </c>
      <c r="E2" s="4">
        <v>15.074999999999999</v>
      </c>
      <c r="F2" s="4">
        <v>14.388877821033272</v>
      </c>
      <c r="G2" s="4">
        <v>-0.68612217896672689</v>
      </c>
      <c r="H2" s="4">
        <v>0.68612217896672689</v>
      </c>
      <c r="I2" s="4">
        <v>4.5513909052519192</v>
      </c>
      <c r="J2" s="4">
        <v>15.08</v>
      </c>
      <c r="K2" s="4">
        <v>30.15</v>
      </c>
    </row>
    <row r="3" spans="1:11">
      <c r="A3" s="2">
        <v>2</v>
      </c>
      <c r="B3" s="3" t="s">
        <v>13</v>
      </c>
      <c r="C3" s="3">
        <v>1</v>
      </c>
      <c r="D3" s="3" t="s">
        <v>12</v>
      </c>
      <c r="E3" s="4">
        <v>15.074999999999999</v>
      </c>
      <c r="F3" s="4">
        <v>14.445813240169082</v>
      </c>
      <c r="G3" s="4">
        <v>-0.6291867598309171</v>
      </c>
      <c r="H3" s="4">
        <v>0.6291867598309171</v>
      </c>
      <c r="I3" s="4">
        <v>4.1737098496246583</v>
      </c>
      <c r="J3" s="4">
        <v>0</v>
      </c>
      <c r="K3" s="4">
        <v>15.074999999999999</v>
      </c>
    </row>
    <row r="4" spans="1:11">
      <c r="A4" s="2">
        <v>3</v>
      </c>
      <c r="B4" s="3" t="s">
        <v>14</v>
      </c>
      <c r="C4" s="3">
        <v>1</v>
      </c>
      <c r="D4" s="3" t="s">
        <v>12</v>
      </c>
      <c r="E4" s="4">
        <v>15.074999999999999</v>
      </c>
      <c r="F4" s="4">
        <v>15.06333077941469</v>
      </c>
      <c r="G4" s="4">
        <v>-1.1669220585309503E-2</v>
      </c>
      <c r="H4" s="4">
        <v>1.1669220585309503E-2</v>
      </c>
      <c r="I4" s="4">
        <v>7.7407765076679957E-2</v>
      </c>
      <c r="J4" s="4">
        <v>15.074999999999999</v>
      </c>
      <c r="K4" s="4">
        <v>30.15</v>
      </c>
    </row>
    <row r="5" spans="1:11">
      <c r="A5" s="2">
        <v>4</v>
      </c>
      <c r="B5" s="3" t="s">
        <v>15</v>
      </c>
      <c r="C5" s="3">
        <v>1</v>
      </c>
      <c r="D5" s="3" t="s">
        <v>12</v>
      </c>
      <c r="E5" s="4">
        <v>15.074999999999999</v>
      </c>
      <c r="F5" s="4">
        <v>14.828440260380066</v>
      </c>
      <c r="G5" s="4">
        <v>-0.24655973961993283</v>
      </c>
      <c r="H5" s="4">
        <v>0.24655973961993283</v>
      </c>
      <c r="I5" s="4">
        <v>1.6355538283245961</v>
      </c>
      <c r="J5" s="4">
        <v>30.15</v>
      </c>
      <c r="K5" s="4">
        <v>45.225000000000001</v>
      </c>
    </row>
    <row r="6" spans="1:11">
      <c r="A6" s="2">
        <v>5</v>
      </c>
      <c r="B6" s="3" t="s">
        <v>16</v>
      </c>
      <c r="C6" s="3">
        <v>1</v>
      </c>
      <c r="D6" s="3" t="s">
        <v>12</v>
      </c>
      <c r="E6" s="4">
        <v>15.074999999999999</v>
      </c>
      <c r="F6" s="4">
        <v>14.698558479667893</v>
      </c>
      <c r="G6" s="4">
        <v>-0.37644152033210609</v>
      </c>
      <c r="H6" s="4">
        <v>0.37644152033210609</v>
      </c>
      <c r="I6" s="4">
        <v>2.4971245129824617</v>
      </c>
      <c r="J6" s="4">
        <v>45.225000000000001</v>
      </c>
      <c r="K6" s="4">
        <v>60.3</v>
      </c>
    </row>
    <row r="7" spans="1:11">
      <c r="A7" s="2">
        <v>6</v>
      </c>
      <c r="B7" s="3" t="s">
        <v>17</v>
      </c>
      <c r="C7" s="3">
        <v>1</v>
      </c>
      <c r="D7" s="3" t="s">
        <v>12</v>
      </c>
      <c r="E7" s="4">
        <v>15.074999999999999</v>
      </c>
      <c r="F7" s="4">
        <v>14.994222485131719</v>
      </c>
      <c r="G7" s="4">
        <v>-8.0777514868280775E-2</v>
      </c>
      <c r="H7" s="4">
        <v>8.0777514868280775E-2</v>
      </c>
      <c r="I7" s="4">
        <v>0.53583757789904329</v>
      </c>
      <c r="J7" s="4">
        <v>60.3</v>
      </c>
      <c r="K7" s="4">
        <v>75.375</v>
      </c>
    </row>
    <row r="8" spans="1:11">
      <c r="A8" s="2">
        <v>7</v>
      </c>
      <c r="B8" s="3" t="s">
        <v>18</v>
      </c>
      <c r="C8" s="3">
        <v>1</v>
      </c>
      <c r="D8" s="3" t="s">
        <v>12</v>
      </c>
      <c r="E8" s="4">
        <v>15.074999999999999</v>
      </c>
      <c r="F8" s="4">
        <v>14.52933862964999</v>
      </c>
      <c r="G8" s="4">
        <v>-0.54566137035000928</v>
      </c>
      <c r="H8" s="4">
        <v>0.54566137035000928</v>
      </c>
      <c r="I8" s="4">
        <v>3.6196442477612556</v>
      </c>
      <c r="J8" s="4">
        <v>75.375</v>
      </c>
      <c r="K8" s="4">
        <v>90.45</v>
      </c>
    </row>
    <row r="9" spans="1:11">
      <c r="A9" s="2">
        <v>8</v>
      </c>
      <c r="B9" s="3" t="s">
        <v>19</v>
      </c>
      <c r="C9" s="3">
        <v>1</v>
      </c>
      <c r="D9" s="3" t="s">
        <v>12</v>
      </c>
      <c r="E9" s="4">
        <v>15.074999999999999</v>
      </c>
      <c r="F9" s="4">
        <v>14.820292150108585</v>
      </c>
      <c r="G9" s="4">
        <v>-0.25470784989141393</v>
      </c>
      <c r="H9" s="4">
        <v>0.25470784989141393</v>
      </c>
      <c r="I9" s="4">
        <v>1.6896043110541554</v>
      </c>
      <c r="J9" s="4">
        <v>90.45</v>
      </c>
      <c r="K9" s="4">
        <v>105.52500000000001</v>
      </c>
    </row>
    <row r="10" spans="1:11">
      <c r="A10" s="2">
        <v>9</v>
      </c>
      <c r="B10" s="3" t="s">
        <v>20</v>
      </c>
      <c r="C10" s="3">
        <v>1</v>
      </c>
      <c r="D10" s="3" t="s">
        <v>12</v>
      </c>
      <c r="E10" s="4">
        <v>15.074999999999999</v>
      </c>
      <c r="F10" s="4">
        <v>14.758298600945672</v>
      </c>
      <c r="G10" s="4">
        <v>-0.31670139905432748</v>
      </c>
      <c r="H10" s="4">
        <v>0.31670139905432748</v>
      </c>
      <c r="I10" s="4">
        <v>2.1008384680220726</v>
      </c>
      <c r="J10" s="4">
        <v>105.52500000000001</v>
      </c>
      <c r="K10" s="4">
        <v>120.6</v>
      </c>
    </row>
    <row r="11" spans="1:11">
      <c r="A11" s="2">
        <v>10</v>
      </c>
      <c r="B11" s="3" t="s">
        <v>21</v>
      </c>
      <c r="C11" s="3">
        <v>1</v>
      </c>
      <c r="D11" s="3" t="s">
        <v>12</v>
      </c>
      <c r="E11" s="4">
        <v>15.074999999999999</v>
      </c>
      <c r="F11" s="4">
        <v>15.107545814004178</v>
      </c>
      <c r="G11" s="4">
        <v>3.2545814004178553E-2</v>
      </c>
      <c r="H11" s="4">
        <v>3.2545814004178553E-2</v>
      </c>
      <c r="I11" s="4">
        <v>0.21589263021013966</v>
      </c>
      <c r="J11" s="4">
        <v>120.6</v>
      </c>
      <c r="K11" s="4">
        <v>135.67500000000001</v>
      </c>
    </row>
    <row r="12" spans="1:11">
      <c r="A12" s="2">
        <v>11</v>
      </c>
      <c r="B12" s="3" t="s">
        <v>22</v>
      </c>
      <c r="C12" s="3">
        <v>1</v>
      </c>
      <c r="D12" s="3" t="s">
        <v>12</v>
      </c>
      <c r="E12" s="4">
        <v>15.074999999999999</v>
      </c>
      <c r="F12" s="4">
        <v>14.845459715001553</v>
      </c>
      <c r="G12" s="4">
        <v>-0.22954028499844625</v>
      </c>
      <c r="H12" s="4">
        <v>0.22954028499844625</v>
      </c>
      <c r="I12" s="4">
        <v>1.5226552902052821</v>
      </c>
      <c r="J12" s="4">
        <v>135.67500000000001</v>
      </c>
      <c r="K12" s="4">
        <v>150.75</v>
      </c>
    </row>
  </sheetData>
  <phoneticPr fontId="5" type="noConversion"/>
  <conditionalFormatting sqref="G2:G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/>
  </sheetViews>
  <sheetFormatPr defaultRowHeight="14"/>
  <cols>
    <col min="1" max="3" width="18" customWidth="1"/>
    <col min="4" max="4" width="24" customWidth="1"/>
    <col min="5" max="5" width="34" customWidth="1"/>
    <col min="6" max="8" width="14" customWidth="1"/>
  </cols>
  <sheetData>
    <row r="1" spans="1:8">
      <c r="A1" s="10" t="s">
        <v>23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4" spans="1:8">
      <c r="A4" s="5" t="s">
        <v>24</v>
      </c>
      <c r="B4" s="5" t="s">
        <v>25</v>
      </c>
      <c r="D4" s="5" t="s">
        <v>26</v>
      </c>
      <c r="E4" s="5" t="s">
        <v>25</v>
      </c>
    </row>
    <row r="5" spans="1:8">
      <c r="A5" t="s">
        <v>27</v>
      </c>
      <c r="B5" s="6">
        <f>COUNT('Trial Data'!G2:G12)</f>
        <v>11</v>
      </c>
      <c r="D5" t="s">
        <v>28</v>
      </c>
      <c r="E5" s="7">
        <f>SLOPE('Trial Data'!G2:G12,'Trial Data'!A2:A12)</f>
        <v>3.4811155992853331E-2</v>
      </c>
    </row>
    <row r="6" spans="1:8">
      <c r="A6" t="s">
        <v>29</v>
      </c>
      <c r="B6" s="7">
        <f>AVERAGE('Trial Data'!G2:G12)</f>
        <v>-0.30407472949939013</v>
      </c>
      <c r="D6" t="s">
        <v>30</v>
      </c>
      <c r="E6" s="7">
        <f>INTERCEPT('Trial Data'!G2:G12,'Trial Data'!A2:A12)</f>
        <v>-0.5129416654565101</v>
      </c>
    </row>
    <row r="7" spans="1:8" ht="28">
      <c r="A7" t="s">
        <v>31</v>
      </c>
      <c r="B7" s="7" t="e">
        <f ca="1">_xludf.STDEV.S('Trial Data'!G2:G12)</f>
        <v>#NAME?</v>
      </c>
      <c r="D7" t="s">
        <v>32</v>
      </c>
      <c r="E7" s="8" t="s">
        <v>33</v>
      </c>
    </row>
    <row r="8" spans="1:8">
      <c r="A8" t="s">
        <v>34</v>
      </c>
      <c r="B8" s="7">
        <f>AVERAGE('Trial Data'!H2:H12)</f>
        <v>0.3099921502274226</v>
      </c>
    </row>
    <row r="9" spans="1:8">
      <c r="A9" t="s">
        <v>35</v>
      </c>
      <c r="B9" s="7">
        <f>SQRT(SUMSQ('Trial Data'!G2:G12)/COUNT('Trial Data'!G2:G12))</f>
        <v>0.38048663729531063</v>
      </c>
    </row>
    <row r="10" spans="1:8">
      <c r="A10" t="s">
        <v>36</v>
      </c>
      <c r="B10" s="7">
        <f>MIN('Trial Data'!G2:G12)</f>
        <v>-0.68612217896672689</v>
      </c>
    </row>
    <row r="11" spans="1:8">
      <c r="A11" t="s">
        <v>37</v>
      </c>
      <c r="B11" s="7">
        <f>MAX('Trial Data'!G2:G12)</f>
        <v>3.2545814004178553E-2</v>
      </c>
    </row>
    <row r="14" spans="1:8">
      <c r="A14" s="9" t="s">
        <v>0</v>
      </c>
      <c r="B14" s="9" t="s">
        <v>6</v>
      </c>
      <c r="C14" s="9" t="s">
        <v>38</v>
      </c>
    </row>
    <row r="15" spans="1:8">
      <c r="A15">
        <v>1</v>
      </c>
      <c r="B15" s="7">
        <f>'Trial Data'!G2</f>
        <v>-0.68612217896672689</v>
      </c>
      <c r="C15" s="7">
        <f t="shared" ref="C15:C25" si="0">$E$5*A15+$E$6</f>
        <v>-0.47813050946365676</v>
      </c>
    </row>
    <row r="16" spans="1:8">
      <c r="A16">
        <v>2</v>
      </c>
      <c r="B16" s="7">
        <f>'Trial Data'!G3</f>
        <v>-0.6291867598309171</v>
      </c>
      <c r="C16" s="7">
        <f t="shared" si="0"/>
        <v>-0.44331935347080342</v>
      </c>
    </row>
    <row r="17" spans="1:8">
      <c r="A17">
        <v>3</v>
      </c>
      <c r="B17" s="7">
        <f>'Trial Data'!G4</f>
        <v>-1.1669220585309503E-2</v>
      </c>
      <c r="C17" s="7">
        <f t="shared" si="0"/>
        <v>-0.40850819747795009</v>
      </c>
    </row>
    <row r="18" spans="1:8">
      <c r="A18">
        <v>4</v>
      </c>
      <c r="B18" s="7">
        <f>'Trial Data'!G5</f>
        <v>-0.24655973961993283</v>
      </c>
      <c r="C18" s="7">
        <f t="shared" si="0"/>
        <v>-0.37369704148509675</v>
      </c>
    </row>
    <row r="19" spans="1:8">
      <c r="A19">
        <v>5</v>
      </c>
      <c r="B19" s="7">
        <f>'Trial Data'!G6</f>
        <v>-0.37644152033210609</v>
      </c>
      <c r="C19" s="7">
        <f t="shared" si="0"/>
        <v>-0.33888588549224341</v>
      </c>
    </row>
    <row r="20" spans="1:8">
      <c r="A20">
        <v>6</v>
      </c>
      <c r="B20" s="7">
        <f>'Trial Data'!G7</f>
        <v>-8.0777514868280775E-2</v>
      </c>
      <c r="C20" s="7">
        <f t="shared" si="0"/>
        <v>-0.30407472949939013</v>
      </c>
    </row>
    <row r="21" spans="1:8">
      <c r="A21">
        <v>7</v>
      </c>
      <c r="B21" s="7">
        <f>'Trial Data'!G8</f>
        <v>-0.54566137035000928</v>
      </c>
      <c r="C21" s="7">
        <f t="shared" si="0"/>
        <v>-0.26926357350653679</v>
      </c>
    </row>
    <row r="22" spans="1:8">
      <c r="A22">
        <v>8</v>
      </c>
      <c r="B22" s="7">
        <f>'Trial Data'!G9</f>
        <v>-0.25470784989141393</v>
      </c>
      <c r="C22" s="7">
        <f t="shared" si="0"/>
        <v>-0.23445241751368345</v>
      </c>
    </row>
    <row r="23" spans="1:8">
      <c r="A23">
        <v>9</v>
      </c>
      <c r="B23" s="7">
        <f>'Trial Data'!G10</f>
        <v>-0.31670139905432748</v>
      </c>
      <c r="C23" s="7">
        <f t="shared" si="0"/>
        <v>-0.19964126152083012</v>
      </c>
    </row>
    <row r="24" spans="1:8">
      <c r="A24">
        <v>10</v>
      </c>
      <c r="B24" s="7">
        <f>'Trial Data'!G11</f>
        <v>3.2545814004178553E-2</v>
      </c>
      <c r="C24" s="7">
        <f t="shared" si="0"/>
        <v>-0.16483010552797678</v>
      </c>
    </row>
    <row r="25" spans="1:8">
      <c r="A25">
        <v>11</v>
      </c>
      <c r="B25" s="7">
        <f>'Trial Data'!G12</f>
        <v>-0.22954028499844625</v>
      </c>
      <c r="C25" s="7">
        <f t="shared" si="0"/>
        <v>-0.13001894953512344</v>
      </c>
    </row>
    <row r="28" spans="1:8">
      <c r="A28" s="11" t="s">
        <v>39</v>
      </c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</sheetData>
  <mergeCells count="2">
    <mergeCell ref="A1:H2"/>
    <mergeCell ref="A28:H30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Trial Data</vt:lpstr>
      <vt:lpstr>Professor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jhan31@student.ubc.ca</cp:lastModifiedBy>
  <dcterms:modified xsi:type="dcterms:W3CDTF">2026-08-14T01:27:07Z</dcterms:modified>
</cp:coreProperties>
</file>